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dr\OneDrive\Escritorio\TAPACHULA 2025-2026\VENTAS 2025-2026\"/>
    </mc:Choice>
  </mc:AlternateContent>
  <xr:revisionPtr revIDLastSave="0" documentId="13_ncr:1_{3AE3DACC-1CCD-4111-B654-3A89C84AD83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ENTAS 2026" sheetId="3" r:id="rId1"/>
    <sheet name="CONTROL SALDO LOAD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4" i="4" l="1"/>
  <c r="R34" i="4"/>
  <c r="Q34" i="4"/>
  <c r="P34" i="4"/>
  <c r="O34" i="4"/>
  <c r="N34" i="4"/>
  <c r="M34" i="4"/>
  <c r="S33" i="4"/>
  <c r="R33" i="4"/>
  <c r="N33" i="4"/>
  <c r="M33" i="4"/>
  <c r="R24" i="4"/>
  <c r="N28" i="4"/>
  <c r="N25" i="3"/>
  <c r="M14" i="3"/>
  <c r="M16" i="3" s="1"/>
  <c r="R16" i="4"/>
  <c r="Q16" i="4"/>
  <c r="O16" i="4"/>
  <c r="P16" i="4" l="1"/>
  <c r="M16" i="4"/>
  <c r="S16" i="4" s="1"/>
  <c r="N16" i="4"/>
</calcChain>
</file>

<file path=xl/sharedStrings.xml><?xml version="1.0" encoding="utf-8"?>
<sst xmlns="http://schemas.openxmlformats.org/spreadsheetml/2006/main" count="172" uniqueCount="68">
  <si>
    <t>AGRICOLA DE LA COSTA SAN LUIS SPR DE RL DE CV</t>
  </si>
  <si>
    <t>CONTROL DEPOSITOS Y FACTURAS</t>
  </si>
  <si>
    <t>FECHA</t>
  </si>
  <si>
    <t>N. CREDITO</t>
  </si>
  <si>
    <t>REP</t>
  </si>
  <si>
    <t>FACTURA</t>
  </si>
  <si>
    <t>IMPORTES</t>
  </si>
  <si>
    <t>DEPOSITO</t>
  </si>
  <si>
    <t>#</t>
  </si>
  <si>
    <t>FOLIO #</t>
  </si>
  <si>
    <t>ANTICIPO</t>
  </si>
  <si>
    <t>VENTA NORMAL</t>
  </si>
  <si>
    <t>NOTA</t>
  </si>
  <si>
    <t>CARGO</t>
  </si>
  <si>
    <t>N. CARGO</t>
  </si>
  <si>
    <t>CFDI VENTA</t>
  </si>
  <si>
    <t>AGRICOLA DE LA COSTA SAN LUIS S.P.R DE R.L DE C.V</t>
  </si>
  <si>
    <t>CARGA</t>
  </si>
  <si>
    <t xml:space="preserve">P.O </t>
  </si>
  <si>
    <t>CFDIS</t>
  </si>
  <si>
    <t xml:space="preserve">NOTA </t>
  </si>
  <si>
    <t xml:space="preserve">FACTURA </t>
  </si>
  <si>
    <t xml:space="preserve"> FACTURA</t>
  </si>
  <si>
    <t xml:space="preserve">SALIDA </t>
  </si>
  <si>
    <t xml:space="preserve">EMISION </t>
  </si>
  <si>
    <t>CANCELADOS</t>
  </si>
  <si>
    <t>CRÉDITO</t>
  </si>
  <si>
    <t>VENTAS</t>
  </si>
  <si>
    <t>PANORAMA</t>
  </si>
  <si>
    <t>SALDO FVR. PANORAMA</t>
  </si>
  <si>
    <t>AJUSTES</t>
  </si>
  <si>
    <t>DEPOSITOS</t>
  </si>
  <si>
    <t>SALDO</t>
  </si>
  <si>
    <t>MANIFIESTO</t>
  </si>
  <si>
    <t>CFDI</t>
  </si>
  <si>
    <t>FACTURADO</t>
  </si>
  <si>
    <t>LOAD</t>
  </si>
  <si>
    <t>N. CREDITO EMITIDAS</t>
  </si>
  <si>
    <t>REMANENTE</t>
  </si>
  <si>
    <t>ANT. 2023</t>
  </si>
  <si>
    <t>BANCOMER</t>
  </si>
  <si>
    <t>SANTANDER</t>
  </si>
  <si>
    <t>AGENCIA</t>
  </si>
  <si>
    <t>ADUANAL</t>
  </si>
  <si>
    <t>PEDIMENTO</t>
  </si>
  <si>
    <t xml:space="preserve">CFDI </t>
  </si>
  <si>
    <t>CANCELADO</t>
  </si>
  <si>
    <t xml:space="preserve"> CFDI ANTICIPO</t>
  </si>
  <si>
    <t>SUMA MES</t>
  </si>
  <si>
    <t xml:space="preserve"> TAPACHULA  TEMPORADA 2024-2025</t>
  </si>
  <si>
    <t>REMANENTE ANTICIPO VENTAS X APLICAR</t>
  </si>
  <si>
    <t>TEMPORADA 2025</t>
  </si>
  <si>
    <t xml:space="preserve"> OCTUBRE </t>
  </si>
  <si>
    <t>B 1980</t>
  </si>
  <si>
    <t>VENTAS TEMP 2025-2026 TAPACHULA</t>
  </si>
  <si>
    <t>TAPACHULA TEMPORADA 2025-2026</t>
  </si>
  <si>
    <t>VENTAS CANADA  TAPACHULA   DICIEMBRE  2025</t>
  </si>
  <si>
    <t>B 1988</t>
  </si>
  <si>
    <t>11-01-.2026</t>
  </si>
  <si>
    <t>B 1993</t>
  </si>
  <si>
    <t>LIBRADO</t>
  </si>
  <si>
    <t>B 1996</t>
  </si>
  <si>
    <t>B 1999</t>
  </si>
  <si>
    <t>SALDO FAVOR PANORAMA AL 21 ENERO 2026</t>
  </si>
  <si>
    <t>VENTAS CANADA  TAPACHULA   ENERO   2026</t>
  </si>
  <si>
    <t>SALDO ANTERIOR</t>
  </si>
  <si>
    <t>TOTAL ACUMULADO</t>
  </si>
  <si>
    <t>ANTICIPO 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</si>
</sst>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d/mm/yy;@"/>
    <numFmt numFmtId="165" formatCode="dd/mm/yy;@"/>
    <numFmt numFmtId="166" formatCode="dd/mm/yyyy;@"/>
  </numFmts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2"/>
      <color theme="1"/>
      <name val="Arial Black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Arial Narrow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sz val="10"/>
      <color theme="1"/>
      <name val="Arial Black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 Black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FFFF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</borders>
  <cellStyleXfs count="45">
    <xf numFmtId="0" fontId="0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12" applyNumberFormat="0" applyAlignment="0" applyProtection="0"/>
    <xf numFmtId="0" fontId="25" fillId="8" borderId="13" applyNumberFormat="0" applyAlignment="0" applyProtection="0"/>
    <xf numFmtId="0" fontId="26" fillId="8" borderId="12" applyNumberFormat="0" applyAlignment="0" applyProtection="0"/>
    <xf numFmtId="0" fontId="27" fillId="0" borderId="14" applyNumberFormat="0" applyFill="0" applyAlignment="0" applyProtection="0"/>
    <xf numFmtId="0" fontId="28" fillId="9" borderId="15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7" applyNumberFormat="0" applyFill="0" applyAlignment="0" applyProtection="0"/>
    <xf numFmtId="0" fontId="32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32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32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32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32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32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33" fillId="0" borderId="0"/>
    <xf numFmtId="0" fontId="4" fillId="10" borderId="16" applyNumberFormat="0" applyFont="0" applyAlignment="0" applyProtection="0"/>
  </cellStyleXfs>
  <cellXfs count="77">
    <xf numFmtId="0" fontId="0" fillId="0" borderId="0" xfId="0"/>
    <xf numFmtId="44" fontId="0" fillId="0" borderId="0" xfId="0" applyNumberFormat="1"/>
    <xf numFmtId="0" fontId="7" fillId="0" borderId="0" xfId="0" applyFont="1"/>
    <xf numFmtId="0" fontId="7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14" fontId="10" fillId="2" borderId="0" xfId="0" applyNumberFormat="1" applyFont="1" applyFill="1" applyAlignment="1">
      <alignment horizontal="center"/>
    </xf>
    <xf numFmtId="43" fontId="10" fillId="2" borderId="0" xfId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43" fontId="15" fillId="2" borderId="5" xfId="1" applyFont="1" applyFill="1" applyBorder="1" applyAlignment="1">
      <alignment horizontal="center"/>
    </xf>
    <xf numFmtId="165" fontId="15" fillId="2" borderId="5" xfId="0" applyNumberFormat="1" applyFont="1" applyFill="1" applyBorder="1" applyAlignment="1">
      <alignment horizontal="center"/>
    </xf>
    <xf numFmtId="44" fontId="13" fillId="0" borderId="5" xfId="1" applyNumberFormat="1" applyFont="1" applyFill="1" applyBorder="1"/>
    <xf numFmtId="44" fontId="11" fillId="0" borderId="5" xfId="1" applyNumberFormat="1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43" fontId="15" fillId="2" borderId="8" xfId="1" applyFont="1" applyFill="1" applyBorder="1" applyAlignment="1">
      <alignment horizontal="center"/>
    </xf>
    <xf numFmtId="44" fontId="13" fillId="2" borderId="5" xfId="1" applyNumberFormat="1" applyFont="1" applyFill="1" applyBorder="1"/>
    <xf numFmtId="44" fontId="12" fillId="0" borderId="5" xfId="1" applyNumberFormat="1" applyFont="1" applyFill="1" applyBorder="1"/>
    <xf numFmtId="14" fontId="0" fillId="0" borderId="0" xfId="0" applyNumberFormat="1"/>
    <xf numFmtId="164" fontId="13" fillId="2" borderId="5" xfId="0" applyNumberFormat="1" applyFont="1" applyFill="1" applyBorder="1"/>
    <xf numFmtId="0" fontId="13" fillId="2" borderId="5" xfId="0" applyFont="1" applyFill="1" applyBorder="1"/>
    <xf numFmtId="8" fontId="0" fillId="0" borderId="0" xfId="0" applyNumberFormat="1"/>
    <xf numFmtId="0" fontId="3" fillId="0" borderId="0" xfId="0" applyFont="1" applyAlignment="1">
      <alignment horizontal="center"/>
    </xf>
    <xf numFmtId="165" fontId="11" fillId="0" borderId="5" xfId="0" applyNumberFormat="1" applyFont="1" applyBorder="1" applyAlignment="1">
      <alignment horizontal="center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44" fontId="11" fillId="0" borderId="5" xfId="0" applyNumberFormat="1" applyFont="1" applyBorder="1"/>
    <xf numFmtId="166" fontId="11" fillId="0" borderId="5" xfId="0" applyNumberFormat="1" applyFont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65" fontId="13" fillId="0" borderId="5" xfId="0" applyNumberFormat="1" applyFont="1" applyBorder="1"/>
    <xf numFmtId="166" fontId="13" fillId="0" borderId="5" xfId="0" applyNumberFormat="1" applyFont="1" applyBorder="1"/>
    <xf numFmtId="0" fontId="15" fillId="2" borderId="8" xfId="1" applyNumberFormat="1" applyFont="1" applyFill="1" applyBorder="1" applyAlignment="1">
      <alignment horizontal="center"/>
    </xf>
    <xf numFmtId="165" fontId="13" fillId="2" borderId="5" xfId="0" applyNumberFormat="1" applyFont="1" applyFill="1" applyBorder="1"/>
    <xf numFmtId="0" fontId="2" fillId="0" borderId="0" xfId="0" applyFont="1"/>
    <xf numFmtId="0" fontId="36" fillId="2" borderId="0" xfId="0" applyFont="1" applyFill="1"/>
    <xf numFmtId="165" fontId="15" fillId="0" borderId="5" xfId="0" applyNumberFormat="1" applyFont="1" applyBorder="1"/>
    <xf numFmtId="0" fontId="15" fillId="0" borderId="5" xfId="0" applyFont="1" applyBorder="1" applyAlignment="1">
      <alignment horizontal="center"/>
    </xf>
    <xf numFmtId="14" fontId="37" fillId="0" borderId="0" xfId="0" applyNumberFormat="1" applyFont="1"/>
    <xf numFmtId="0" fontId="37" fillId="0" borderId="0" xfId="0" applyFont="1" applyAlignment="1">
      <alignment horizontal="center"/>
    </xf>
    <xf numFmtId="165" fontId="11" fillId="0" borderId="5" xfId="0" applyNumberFormat="1" applyFont="1" applyBorder="1"/>
    <xf numFmtId="44" fontId="37" fillId="0" borderId="0" xfId="0" applyNumberFormat="1" applyFont="1"/>
    <xf numFmtId="0" fontId="37" fillId="0" borderId="0" xfId="0" applyFont="1"/>
    <xf numFmtId="44" fontId="37" fillId="0" borderId="18" xfId="0" applyNumberFormat="1" applyFont="1" applyBorder="1"/>
    <xf numFmtId="44" fontId="0" fillId="0" borderId="18" xfId="0" applyNumberForma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34" fillId="2" borderId="0" xfId="0" applyFont="1" applyFill="1" applyAlignment="1">
      <alignment horizontal="center"/>
    </xf>
    <xf numFmtId="165" fontId="15" fillId="2" borderId="8" xfId="0" applyNumberFormat="1" applyFont="1" applyFill="1" applyBorder="1"/>
    <xf numFmtId="43" fontId="15" fillId="0" borderId="5" xfId="1" applyFont="1" applyFill="1" applyBorder="1" applyAlignment="1">
      <alignment horizontal="center"/>
    </xf>
    <xf numFmtId="0" fontId="15" fillId="0" borderId="5" xfId="1" applyNumberFormat="1" applyFont="1" applyFill="1" applyBorder="1" applyAlignment="1">
      <alignment horizontal="center"/>
    </xf>
    <xf numFmtId="14" fontId="11" fillId="0" borderId="5" xfId="0" applyNumberFormat="1" applyFont="1" applyBorder="1"/>
    <xf numFmtId="44" fontId="0" fillId="0" borderId="5" xfId="0" applyNumberFormat="1" applyBorder="1"/>
    <xf numFmtId="0" fontId="37" fillId="0" borderId="5" xfId="0" applyFont="1" applyBorder="1" applyAlignment="1">
      <alignment horizontal="center"/>
    </xf>
    <xf numFmtId="44" fontId="37" fillId="0" borderId="5" xfId="0" applyNumberFormat="1" applyFont="1" applyBorder="1"/>
    <xf numFmtId="14" fontId="11" fillId="0" borderId="5" xfId="0" applyNumberFormat="1" applyFont="1" applyBorder="1" applyAlignment="1">
      <alignment horizontal="center"/>
    </xf>
    <xf numFmtId="44" fontId="12" fillId="0" borderId="5" xfId="0" applyNumberFormat="1" applyFont="1" applyBorder="1"/>
    <xf numFmtId="14" fontId="0" fillId="0" borderId="5" xfId="0" applyNumberFormat="1" applyBorder="1"/>
    <xf numFmtId="0" fontId="1" fillId="0" borderId="5" xfId="0" applyFont="1" applyBorder="1" applyAlignment="1">
      <alignment horizontal="center"/>
    </xf>
    <xf numFmtId="44" fontId="15" fillId="2" borderId="8" xfId="1" applyNumberFormat="1" applyFont="1" applyFill="1" applyBorder="1" applyAlignment="1">
      <alignment horizontal="center"/>
    </xf>
    <xf numFmtId="165" fontId="13" fillId="35" borderId="5" xfId="0" applyNumberFormat="1" applyFont="1" applyFill="1" applyBorder="1"/>
    <xf numFmtId="166" fontId="13" fillId="35" borderId="5" xfId="0" applyNumberFormat="1" applyFont="1" applyFill="1" applyBorder="1"/>
    <xf numFmtId="0" fontId="13" fillId="35" borderId="5" xfId="0" applyFont="1" applyFill="1" applyBorder="1" applyAlignment="1">
      <alignment horizontal="center"/>
    </xf>
    <xf numFmtId="44" fontId="13" fillId="35" borderId="5" xfId="1" applyNumberFormat="1" applyFont="1" applyFill="1" applyBorder="1"/>
    <xf numFmtId="0" fontId="0" fillId="36" borderId="0" xfId="0" applyFill="1"/>
    <xf numFmtId="0" fontId="38" fillId="36" borderId="0" xfId="0" applyFont="1" applyFill="1"/>
    <xf numFmtId="0" fontId="39" fillId="36" borderId="0" xfId="0" applyFont="1" applyFill="1"/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Currency 2 2" xfId="2" xr:uid="{00000000-0005-0000-0000-000013000000}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" xfId="1" builtinId="3"/>
    <cellStyle name="Neutral" xfId="10" builtinId="28" customBuiltin="1"/>
    <cellStyle name="Normal" xfId="0" builtinId="0"/>
    <cellStyle name="Normal 2" xfId="43" xr:uid="{ACF80342-BFBF-403D-8869-C0C0720E3C59}"/>
    <cellStyle name="Notas 2" xfId="44" xr:uid="{F4E0564B-DA11-4819-8C30-882685667673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opLeftCell="G1" zoomScaleNormal="100" workbookViewId="0">
      <selection activeCell="N10" sqref="N10:P11"/>
    </sheetView>
  </sheetViews>
  <sheetFormatPr baseColWidth="10" defaultColWidth="11" defaultRowHeight="15"/>
  <cols>
    <col min="1" max="1" width="13.140625" customWidth="1"/>
    <col min="2" max="2" width="15.5703125" customWidth="1"/>
    <col min="3" max="4" width="13.7109375" customWidth="1"/>
    <col min="5" max="6" width="14.28515625" customWidth="1"/>
    <col min="7" max="7" width="11" customWidth="1"/>
    <col min="8" max="8" width="16" customWidth="1"/>
    <col min="9" max="9" width="13.85546875" customWidth="1"/>
    <col min="10" max="10" width="11.28515625" customWidth="1"/>
    <col min="11" max="11" width="12.7109375" customWidth="1"/>
    <col min="12" max="12" width="18.7109375" customWidth="1"/>
    <col min="13" max="13" width="25.5703125" customWidth="1"/>
    <col min="14" max="14" width="21" customWidth="1"/>
    <col min="15" max="15" width="13.140625" customWidth="1"/>
    <col min="16" max="16" width="20.28515625" customWidth="1"/>
    <col min="17" max="17" width="12.5703125" bestFit="1" customWidth="1"/>
    <col min="18" max="18" width="12.7109375" bestFit="1" customWidth="1"/>
    <col min="19" max="19" width="12.5703125" bestFit="1" customWidth="1"/>
    <col min="20" max="20" width="12.5703125" customWidth="1"/>
  </cols>
  <sheetData>
    <row r="1" spans="1:16" ht="20.2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2"/>
      <c r="O1" s="2"/>
      <c r="P1" s="2"/>
    </row>
    <row r="2" spans="1:16" ht="20.25">
      <c r="A2" s="56" t="s">
        <v>49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3"/>
      <c r="O2" s="3"/>
      <c r="P2" s="3"/>
    </row>
    <row r="3" spans="1:16" ht="20.25">
      <c r="A3" s="56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3"/>
      <c r="O3" s="3"/>
      <c r="P3" s="3"/>
    </row>
    <row r="4" spans="1:16" ht="31.5">
      <c r="A4" s="57" t="s">
        <v>55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P4" s="23"/>
    </row>
    <row r="5" spans="1:16" ht="18">
      <c r="A5" s="7" t="s">
        <v>2</v>
      </c>
      <c r="B5" s="7" t="s">
        <v>2</v>
      </c>
      <c r="C5" s="7" t="s">
        <v>2</v>
      </c>
      <c r="D5" s="7" t="s">
        <v>2</v>
      </c>
      <c r="E5" s="7" t="s">
        <v>2</v>
      </c>
      <c r="F5" s="7" t="s">
        <v>2</v>
      </c>
      <c r="G5" s="7" t="s">
        <v>12</v>
      </c>
      <c r="H5" s="7" t="s">
        <v>45</v>
      </c>
      <c r="I5" s="4" t="s">
        <v>3</v>
      </c>
      <c r="J5" s="4" t="s">
        <v>4</v>
      </c>
      <c r="K5" s="4" t="s">
        <v>5</v>
      </c>
      <c r="L5" s="4" t="s">
        <v>5</v>
      </c>
      <c r="M5" s="4" t="s">
        <v>6</v>
      </c>
      <c r="P5" s="23"/>
    </row>
    <row r="6" spans="1:16" ht="18">
      <c r="A6" s="7" t="s">
        <v>7</v>
      </c>
      <c r="B6" s="7" t="s">
        <v>15</v>
      </c>
      <c r="C6" s="5" t="s">
        <v>14</v>
      </c>
      <c r="D6" s="5" t="s">
        <v>3</v>
      </c>
      <c r="E6" s="7" t="s">
        <v>4</v>
      </c>
      <c r="F6" s="7" t="s">
        <v>34</v>
      </c>
      <c r="G6" s="7" t="s">
        <v>13</v>
      </c>
      <c r="H6" s="7" t="s">
        <v>25</v>
      </c>
      <c r="I6" s="4" t="s">
        <v>8</v>
      </c>
      <c r="J6" s="4" t="s">
        <v>9</v>
      </c>
      <c r="K6" s="4" t="s">
        <v>9</v>
      </c>
      <c r="L6" s="4" t="s">
        <v>9</v>
      </c>
      <c r="M6" s="4"/>
      <c r="P6" s="23"/>
    </row>
    <row r="7" spans="1:16" ht="18">
      <c r="A7" s="5"/>
      <c r="B7" s="5" t="s">
        <v>47</v>
      </c>
      <c r="C7" s="5"/>
      <c r="D7" s="5"/>
      <c r="E7" s="5"/>
      <c r="F7" s="5" t="s">
        <v>46</v>
      </c>
      <c r="G7" s="5"/>
      <c r="H7" s="5"/>
      <c r="I7" s="5"/>
      <c r="J7" s="5"/>
      <c r="K7" s="4" t="s">
        <v>10</v>
      </c>
      <c r="L7" s="4" t="s">
        <v>11</v>
      </c>
      <c r="M7" s="6">
        <v>0</v>
      </c>
    </row>
    <row r="8" spans="1:16" ht="18">
      <c r="A8" s="5"/>
      <c r="B8" s="5"/>
      <c r="C8" s="5"/>
      <c r="D8" s="5"/>
      <c r="E8" s="5"/>
      <c r="F8" s="5"/>
      <c r="G8" s="5"/>
      <c r="H8" s="5"/>
      <c r="I8" s="5"/>
      <c r="J8" s="5"/>
      <c r="K8" s="4"/>
      <c r="L8" s="4"/>
      <c r="M8" s="6"/>
      <c r="P8" s="23"/>
    </row>
    <row r="9" spans="1:16">
      <c r="A9" s="20"/>
      <c r="B9" s="20"/>
      <c r="K9" s="24"/>
      <c r="M9" s="1"/>
    </row>
    <row r="10" spans="1:16">
      <c r="A10" s="40">
        <v>45933</v>
      </c>
      <c r="B10" s="40">
        <v>45960</v>
      </c>
      <c r="C10" s="44"/>
      <c r="D10" s="44"/>
      <c r="E10" s="44"/>
      <c r="F10" s="44"/>
      <c r="G10" s="44"/>
      <c r="H10" s="44"/>
      <c r="I10" s="44"/>
      <c r="J10" s="44"/>
      <c r="K10" s="41" t="s">
        <v>53</v>
      </c>
      <c r="L10" s="44"/>
      <c r="M10" s="43">
        <v>500447.7</v>
      </c>
      <c r="N10" s="37" t="s">
        <v>50</v>
      </c>
      <c r="O10" s="37"/>
      <c r="P10" s="37"/>
    </row>
    <row r="11" spans="1:16">
      <c r="A11" s="40">
        <v>46015</v>
      </c>
      <c r="B11" s="40">
        <v>46041</v>
      </c>
      <c r="C11" s="44"/>
      <c r="D11" s="44"/>
      <c r="E11" s="44"/>
      <c r="F11" s="40">
        <v>46041</v>
      </c>
      <c r="G11" s="44"/>
      <c r="H11" s="44" t="s">
        <v>57</v>
      </c>
      <c r="I11" s="44"/>
      <c r="J11" s="44"/>
      <c r="K11" s="41" t="s">
        <v>61</v>
      </c>
      <c r="L11" s="44"/>
      <c r="M11" s="43">
        <v>499711.56</v>
      </c>
      <c r="N11" s="37" t="s">
        <v>54</v>
      </c>
      <c r="O11" s="37"/>
      <c r="P11" s="37"/>
    </row>
    <row r="12" spans="1:16" ht="15.75" thickBo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5"/>
    </row>
    <row r="13" spans="1:16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3"/>
    </row>
    <row r="14" spans="1:16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3">
        <f>SUM(M10:M13)</f>
        <v>1000159.26</v>
      </c>
    </row>
    <row r="15" spans="1:16" ht="15.75" thickBot="1">
      <c r="B15" t="s">
        <v>58</v>
      </c>
      <c r="L15" s="47" t="s">
        <v>59</v>
      </c>
      <c r="M15" s="46">
        <v>923832</v>
      </c>
    </row>
    <row r="16" spans="1:16">
      <c r="M16" s="1">
        <f>M14-M15</f>
        <v>76327.260000000009</v>
      </c>
    </row>
    <row r="19" spans="1:14" ht="18">
      <c r="A19" s="7" t="s">
        <v>2</v>
      </c>
      <c r="B19" s="7" t="s">
        <v>2</v>
      </c>
      <c r="C19" s="7" t="s">
        <v>2</v>
      </c>
      <c r="D19" s="7" t="s">
        <v>2</v>
      </c>
      <c r="E19" s="7" t="s">
        <v>2</v>
      </c>
      <c r="F19" s="7" t="s">
        <v>2</v>
      </c>
      <c r="G19" s="7" t="s">
        <v>12</v>
      </c>
      <c r="H19" s="7" t="s">
        <v>45</v>
      </c>
      <c r="I19" s="4" t="s">
        <v>3</v>
      </c>
      <c r="J19" s="4" t="s">
        <v>4</v>
      </c>
      <c r="K19" s="4" t="s">
        <v>5</v>
      </c>
      <c r="L19" s="4" t="s">
        <v>5</v>
      </c>
      <c r="M19" s="4" t="s">
        <v>6</v>
      </c>
    </row>
    <row r="20" spans="1:14" ht="18">
      <c r="A20" s="7" t="s">
        <v>7</v>
      </c>
      <c r="B20" s="7" t="s">
        <v>15</v>
      </c>
      <c r="C20" s="5" t="s">
        <v>14</v>
      </c>
      <c r="D20" s="5" t="s">
        <v>3</v>
      </c>
      <c r="E20" s="7" t="s">
        <v>4</v>
      </c>
      <c r="F20" s="7" t="s">
        <v>34</v>
      </c>
      <c r="G20" s="7" t="s">
        <v>13</v>
      </c>
      <c r="H20" s="7" t="s">
        <v>25</v>
      </c>
      <c r="I20" s="4" t="s">
        <v>8</v>
      </c>
      <c r="J20" s="4" t="s">
        <v>9</v>
      </c>
      <c r="K20" s="4" t="s">
        <v>9</v>
      </c>
      <c r="L20" s="4" t="s">
        <v>9</v>
      </c>
      <c r="M20" s="4"/>
    </row>
    <row r="21" spans="1:14" ht="18">
      <c r="A21" s="5"/>
      <c r="B21" s="5" t="s">
        <v>47</v>
      </c>
      <c r="C21" s="5"/>
      <c r="D21" s="5"/>
      <c r="E21" s="5"/>
      <c r="F21" s="5" t="s">
        <v>46</v>
      </c>
      <c r="G21" s="5"/>
      <c r="H21" s="5"/>
      <c r="I21" s="5"/>
      <c r="J21" s="5"/>
      <c r="K21" s="4" t="s">
        <v>10</v>
      </c>
      <c r="L21" s="4" t="s">
        <v>11</v>
      </c>
      <c r="M21" s="6">
        <v>0</v>
      </c>
    </row>
    <row r="22" spans="1:14" ht="18">
      <c r="A22" s="5"/>
      <c r="B22" s="5"/>
      <c r="C22" s="5"/>
      <c r="D22" s="5"/>
      <c r="E22" s="5"/>
      <c r="F22" s="5"/>
      <c r="G22" s="5"/>
      <c r="H22" s="5"/>
      <c r="I22" s="5"/>
      <c r="J22" s="5"/>
      <c r="K22" s="4"/>
      <c r="L22" s="4"/>
      <c r="M22" s="6"/>
    </row>
    <row r="24" spans="1:14">
      <c r="A24" s="20">
        <v>46037</v>
      </c>
      <c r="B24" s="20">
        <v>46043</v>
      </c>
      <c r="K24" s="48" t="s">
        <v>62</v>
      </c>
      <c r="M24" s="1">
        <v>899713.2</v>
      </c>
    </row>
    <row r="25" spans="1:14">
      <c r="N25" s="1">
        <f>M16+M24</f>
        <v>976040.46</v>
      </c>
    </row>
  </sheetData>
  <mergeCells count="4">
    <mergeCell ref="A1:M1"/>
    <mergeCell ref="A2:M2"/>
    <mergeCell ref="A3:M3"/>
    <mergeCell ref="A4:M4"/>
  </mergeCells>
  <phoneticPr fontId="9" type="noConversion"/>
  <pageMargins left="0.70866141732283505" right="0.70866141732283505" top="0.74803149606299202" bottom="0.74803149606299202" header="0.31496062992126" footer="0.31496062992126"/>
  <pageSetup scale="9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28DC-47CD-497F-9C0A-020562D0DC67}">
  <dimension ref="A1:W35"/>
  <sheetViews>
    <sheetView tabSelected="1" zoomScale="110" zoomScaleNormal="110" workbookViewId="0">
      <selection activeCell="M9" sqref="M9"/>
    </sheetView>
  </sheetViews>
  <sheetFormatPr baseColWidth="10" defaultRowHeight="15"/>
  <cols>
    <col min="1" max="1" width="18.5703125" customWidth="1"/>
    <col min="2" max="2" width="13.140625" customWidth="1"/>
    <col min="3" max="3" width="12.5703125" customWidth="1"/>
    <col min="4" max="5" width="10.85546875" customWidth="1"/>
    <col min="6" max="6" width="6.85546875" customWidth="1"/>
    <col min="7" max="7" width="8.42578125" customWidth="1"/>
    <col min="9" max="10" width="8.85546875" customWidth="1"/>
    <col min="11" max="11" width="10.140625" customWidth="1"/>
    <col min="12" max="12" width="16.42578125" customWidth="1"/>
    <col min="13" max="13" width="19.140625" customWidth="1"/>
    <col min="14" max="14" width="20" customWidth="1"/>
    <col min="15" max="15" width="19" customWidth="1"/>
    <col min="16" max="16" width="19.140625" customWidth="1"/>
    <col min="17" max="17" width="20.140625" customWidth="1"/>
    <col min="18" max="18" width="18.28515625" customWidth="1"/>
    <col min="19" max="19" width="20.42578125" customWidth="1"/>
    <col min="20" max="20" width="15.7109375" customWidth="1"/>
  </cols>
  <sheetData>
    <row r="1" spans="1:23" ht="15.75">
      <c r="A1" s="49" t="s">
        <v>16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23" ht="15.75">
      <c r="A2" s="51" t="s">
        <v>56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</row>
    <row r="3" spans="1:23">
      <c r="A3" s="8" t="s">
        <v>2</v>
      </c>
      <c r="B3" s="8" t="s">
        <v>2</v>
      </c>
      <c r="C3" s="8" t="s">
        <v>2</v>
      </c>
      <c r="D3" s="8" t="s">
        <v>42</v>
      </c>
      <c r="E3" s="8" t="s">
        <v>44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12</v>
      </c>
      <c r="K3" s="8" t="s">
        <v>21</v>
      </c>
      <c r="L3" s="8" t="s">
        <v>22</v>
      </c>
      <c r="M3" s="9"/>
      <c r="N3" s="9"/>
      <c r="O3" s="9"/>
      <c r="P3" s="9"/>
      <c r="Q3" s="9"/>
      <c r="R3" s="9"/>
      <c r="S3" s="9"/>
    </row>
    <row r="4" spans="1:23">
      <c r="A4" s="8" t="s">
        <v>23</v>
      </c>
      <c r="B4" s="8" t="s">
        <v>7</v>
      </c>
      <c r="C4" s="8" t="s">
        <v>24</v>
      </c>
      <c r="D4" s="8" t="s">
        <v>43</v>
      </c>
      <c r="E4" s="8" t="s">
        <v>8</v>
      </c>
      <c r="F4" s="8" t="s">
        <v>8</v>
      </c>
      <c r="G4" s="8"/>
      <c r="H4" s="8" t="s">
        <v>25</v>
      </c>
      <c r="I4" s="8" t="s">
        <v>26</v>
      </c>
      <c r="J4" s="8" t="s">
        <v>13</v>
      </c>
      <c r="K4" s="8" t="s">
        <v>10</v>
      </c>
      <c r="L4" s="8" t="s">
        <v>11</v>
      </c>
      <c r="M4" s="8" t="s">
        <v>27</v>
      </c>
      <c r="N4" s="10" t="s">
        <v>28</v>
      </c>
      <c r="O4" s="11" t="s">
        <v>29</v>
      </c>
      <c r="P4" s="10" t="s">
        <v>30</v>
      </c>
      <c r="Q4" s="53" t="s">
        <v>31</v>
      </c>
      <c r="R4" s="54"/>
      <c r="S4" s="12" t="s">
        <v>32</v>
      </c>
    </row>
    <row r="5" spans="1:23">
      <c r="A5" s="13" t="s">
        <v>33</v>
      </c>
      <c r="B5" s="13"/>
      <c r="C5" s="13" t="s">
        <v>34</v>
      </c>
      <c r="D5" s="13"/>
      <c r="E5" s="13"/>
      <c r="F5" s="13"/>
      <c r="G5" s="8"/>
      <c r="H5" s="8"/>
      <c r="I5" s="8"/>
      <c r="J5" s="8"/>
      <c r="K5" s="8" t="s">
        <v>8</v>
      </c>
      <c r="L5" s="8" t="s">
        <v>8</v>
      </c>
      <c r="M5" s="12" t="s">
        <v>35</v>
      </c>
      <c r="N5" s="12" t="s">
        <v>36</v>
      </c>
      <c r="O5" s="10" t="s">
        <v>38</v>
      </c>
      <c r="P5" s="12" t="s">
        <v>51</v>
      </c>
      <c r="Q5" s="12" t="s">
        <v>40</v>
      </c>
      <c r="R5" s="12" t="s">
        <v>41</v>
      </c>
      <c r="S5" s="12"/>
    </row>
    <row r="6" spans="1:23">
      <c r="A6" s="58"/>
      <c r="B6" s="58"/>
      <c r="C6" s="58"/>
      <c r="D6" s="58"/>
      <c r="E6" s="58"/>
      <c r="F6" s="58"/>
      <c r="G6" s="16"/>
      <c r="H6" s="16"/>
      <c r="I6" s="16"/>
      <c r="J6" s="16"/>
      <c r="K6" s="16"/>
      <c r="L6" s="16"/>
      <c r="M6" s="17"/>
      <c r="N6" s="17"/>
      <c r="O6" s="17" t="s">
        <v>39</v>
      </c>
      <c r="P6" s="17" t="s">
        <v>37</v>
      </c>
      <c r="Q6" s="34">
        <v>1926</v>
      </c>
      <c r="R6" s="34">
        <v>2015</v>
      </c>
      <c r="S6" s="17"/>
    </row>
    <row r="7" spans="1:23" ht="15.75">
      <c r="A7" s="38"/>
      <c r="B7" s="38"/>
      <c r="C7" s="38"/>
      <c r="D7" s="38"/>
      <c r="E7" s="38"/>
      <c r="F7" s="38"/>
      <c r="G7" s="39"/>
      <c r="H7" s="39"/>
      <c r="I7" s="39"/>
      <c r="J7" s="39"/>
      <c r="K7" s="39"/>
      <c r="L7" s="39"/>
      <c r="M7" s="59"/>
      <c r="N7" s="59"/>
      <c r="O7" s="59"/>
      <c r="P7" s="59"/>
      <c r="Q7" s="60"/>
      <c r="R7" s="60"/>
      <c r="S7" s="59"/>
      <c r="T7" s="76" t="s">
        <v>50</v>
      </c>
      <c r="U7" s="76"/>
      <c r="V7" s="76"/>
      <c r="W7" s="76"/>
    </row>
    <row r="8" spans="1:23" ht="15.75">
      <c r="A8" s="38"/>
      <c r="B8" s="61">
        <v>45933</v>
      </c>
      <c r="C8" s="61">
        <v>45960</v>
      </c>
      <c r="D8" s="42"/>
      <c r="E8" s="42"/>
      <c r="F8" s="42"/>
      <c r="G8" s="27"/>
      <c r="H8" s="27"/>
      <c r="I8" s="27"/>
      <c r="J8" s="27"/>
      <c r="K8" s="27" t="s">
        <v>53</v>
      </c>
      <c r="L8" s="39"/>
      <c r="M8" s="59"/>
      <c r="N8" s="59"/>
      <c r="O8" s="59"/>
      <c r="P8" s="59"/>
      <c r="Q8" s="60"/>
      <c r="R8" s="62">
        <v>500447.7</v>
      </c>
      <c r="S8" s="59"/>
      <c r="T8" s="76" t="s">
        <v>54</v>
      </c>
      <c r="U8" s="76"/>
      <c r="V8" s="76"/>
      <c r="W8" s="76"/>
    </row>
    <row r="9" spans="1:23" ht="15.75">
      <c r="A9" s="25"/>
      <c r="B9" s="61">
        <v>46015</v>
      </c>
      <c r="C9" s="61">
        <v>46041</v>
      </c>
      <c r="D9" s="25"/>
      <c r="E9" s="25"/>
      <c r="F9" s="26"/>
      <c r="G9" s="26"/>
      <c r="H9" s="26" t="s">
        <v>57</v>
      </c>
      <c r="I9" s="26"/>
      <c r="J9" s="27"/>
      <c r="K9" s="63" t="s">
        <v>61</v>
      </c>
      <c r="L9" s="27"/>
      <c r="M9" s="26"/>
      <c r="N9" s="14"/>
      <c r="O9" s="28"/>
      <c r="P9" s="14"/>
      <c r="Q9" s="28"/>
      <c r="R9" s="64">
        <v>499711.56</v>
      </c>
      <c r="S9" s="15"/>
      <c r="T9" s="76" t="s">
        <v>67</v>
      </c>
      <c r="U9" s="76"/>
      <c r="V9" s="76"/>
      <c r="W9" s="76"/>
    </row>
    <row r="10" spans="1:23" ht="15.75">
      <c r="A10" s="25"/>
      <c r="B10" s="61"/>
      <c r="C10" s="61"/>
      <c r="D10" s="25"/>
      <c r="E10" s="25"/>
      <c r="F10" s="25"/>
      <c r="G10" s="27"/>
      <c r="H10" s="27"/>
      <c r="I10" s="27"/>
      <c r="J10" s="27"/>
      <c r="K10" s="27"/>
      <c r="L10" s="27"/>
      <c r="M10" s="62"/>
      <c r="N10" s="14"/>
      <c r="O10" s="26"/>
      <c r="P10" s="28"/>
      <c r="Q10" s="28"/>
      <c r="R10" s="26"/>
      <c r="S10" s="15"/>
    </row>
    <row r="11" spans="1:23" ht="15.75">
      <c r="A11" s="25"/>
      <c r="B11" s="61"/>
      <c r="C11" s="61"/>
      <c r="D11" s="25"/>
      <c r="E11" s="25"/>
      <c r="F11" s="29"/>
      <c r="G11" s="27"/>
      <c r="H11" s="27"/>
      <c r="I11" s="27"/>
      <c r="J11" s="27"/>
      <c r="K11" s="65"/>
      <c r="L11" s="27"/>
      <c r="M11" s="15"/>
      <c r="N11" s="14"/>
      <c r="O11" s="28"/>
      <c r="P11" s="14"/>
      <c r="Q11" s="66"/>
      <c r="R11" s="28"/>
      <c r="S11" s="15"/>
    </row>
    <row r="12" spans="1:23" ht="15.75">
      <c r="A12" s="30"/>
      <c r="B12" s="67"/>
      <c r="C12" s="67"/>
      <c r="D12" s="25"/>
      <c r="E12" s="25"/>
      <c r="F12" s="31"/>
      <c r="G12" s="31"/>
      <c r="H12" s="31"/>
      <c r="I12" s="27"/>
      <c r="J12" s="31"/>
      <c r="K12" s="68"/>
      <c r="L12" s="27"/>
      <c r="M12" s="14"/>
      <c r="N12" s="14"/>
      <c r="O12" s="28"/>
      <c r="P12" s="14"/>
      <c r="Q12" s="66"/>
      <c r="R12" s="62"/>
      <c r="S12" s="14"/>
    </row>
    <row r="13" spans="1:23" ht="15.75">
      <c r="A13" s="30"/>
      <c r="B13" s="61"/>
      <c r="C13" s="61"/>
      <c r="D13" s="25"/>
      <c r="E13" s="25"/>
      <c r="F13" s="31"/>
      <c r="G13" s="31"/>
      <c r="H13" s="31"/>
      <c r="I13" s="27"/>
      <c r="J13" s="31"/>
      <c r="K13" s="27"/>
      <c r="L13" s="31"/>
      <c r="M13" s="14"/>
      <c r="N13" s="14"/>
      <c r="O13" s="28"/>
      <c r="P13" s="14"/>
      <c r="Q13" s="66"/>
      <c r="R13" s="28"/>
      <c r="S13" s="14"/>
    </row>
    <row r="14" spans="1:23" ht="15.75">
      <c r="A14" s="30"/>
      <c r="B14" s="26"/>
      <c r="C14" s="61"/>
      <c r="D14" s="25"/>
      <c r="E14" s="25"/>
      <c r="F14" s="31"/>
      <c r="G14" s="31"/>
      <c r="H14" s="31"/>
      <c r="I14" s="31"/>
      <c r="J14" s="31"/>
      <c r="K14" s="27"/>
      <c r="L14" s="27"/>
      <c r="M14" s="28"/>
      <c r="N14" s="19"/>
      <c r="O14" s="14"/>
      <c r="P14" s="14"/>
      <c r="Q14" s="28"/>
      <c r="R14" s="26"/>
      <c r="S14" s="14"/>
    </row>
    <row r="15" spans="1:23" ht="15.75">
      <c r="A15" s="32"/>
      <c r="B15" s="32"/>
      <c r="C15" s="33"/>
      <c r="D15" s="33"/>
      <c r="E15" s="33"/>
      <c r="F15" s="31"/>
      <c r="G15" s="31"/>
      <c r="H15" s="31"/>
      <c r="I15" s="31"/>
      <c r="J15" s="31"/>
      <c r="K15" s="31"/>
      <c r="L15" s="31"/>
      <c r="M15" s="14"/>
      <c r="N15" s="14"/>
      <c r="O15" s="14"/>
      <c r="P15" s="14"/>
      <c r="Q15" s="14"/>
      <c r="R15" s="14"/>
      <c r="S15" s="14"/>
    </row>
    <row r="16" spans="1:23" ht="15.75">
      <c r="A16" s="35" t="s">
        <v>48</v>
      </c>
      <c r="B16" s="21"/>
      <c r="C16" s="21"/>
      <c r="D16" s="21"/>
      <c r="E16" s="21"/>
      <c r="F16" s="21"/>
      <c r="G16" s="22"/>
      <c r="H16" s="22"/>
      <c r="I16" s="22"/>
      <c r="J16" s="22"/>
      <c r="K16" s="22"/>
      <c r="L16" s="22"/>
      <c r="M16" s="18">
        <f t="shared" ref="M16:P16" si="0">SUM(M9:M15)</f>
        <v>0</v>
      </c>
      <c r="N16" s="18">
        <f t="shared" si="0"/>
        <v>0</v>
      </c>
      <c r="O16" s="18">
        <f t="shared" si="0"/>
        <v>0</v>
      </c>
      <c r="P16" s="18">
        <f t="shared" si="0"/>
        <v>0</v>
      </c>
      <c r="Q16" s="18">
        <f>SUM(Q7:Q15)</f>
        <v>0</v>
      </c>
      <c r="R16" s="18">
        <f>SUM(R7:R15)</f>
        <v>1000159.26</v>
      </c>
      <c r="S16" s="18">
        <f>M16-O16-P16-Q16-R16</f>
        <v>-1000159.26</v>
      </c>
      <c r="T16" t="s">
        <v>63</v>
      </c>
    </row>
    <row r="17" spans="1:20">
      <c r="S17" s="1"/>
    </row>
    <row r="18" spans="1:20" ht="15.75">
      <c r="A18" s="49" t="s">
        <v>16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</row>
    <row r="19" spans="1:20" ht="15.75">
      <c r="A19" s="51" t="s">
        <v>64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</row>
    <row r="20" spans="1:20">
      <c r="A20" s="8" t="s">
        <v>2</v>
      </c>
      <c r="B20" s="8" t="s">
        <v>2</v>
      </c>
      <c r="C20" s="8" t="s">
        <v>2</v>
      </c>
      <c r="D20" s="8" t="s">
        <v>42</v>
      </c>
      <c r="E20" s="8" t="s">
        <v>44</v>
      </c>
      <c r="F20" s="8" t="s">
        <v>17</v>
      </c>
      <c r="G20" s="8" t="s">
        <v>18</v>
      </c>
      <c r="H20" s="8" t="s">
        <v>19</v>
      </c>
      <c r="I20" s="8" t="s">
        <v>20</v>
      </c>
      <c r="J20" s="8" t="s">
        <v>12</v>
      </c>
      <c r="K20" s="8" t="s">
        <v>21</v>
      </c>
      <c r="L20" s="8" t="s">
        <v>22</v>
      </c>
      <c r="M20" s="9"/>
      <c r="N20" s="9"/>
      <c r="O20" s="9"/>
      <c r="P20" s="9"/>
      <c r="Q20" s="9"/>
      <c r="R20" s="9"/>
      <c r="S20" s="9"/>
    </row>
    <row r="21" spans="1:20">
      <c r="A21" s="8" t="s">
        <v>23</v>
      </c>
      <c r="B21" s="8" t="s">
        <v>7</v>
      </c>
      <c r="C21" s="8" t="s">
        <v>24</v>
      </c>
      <c r="D21" s="8" t="s">
        <v>43</v>
      </c>
      <c r="E21" s="8" t="s">
        <v>8</v>
      </c>
      <c r="F21" s="8" t="s">
        <v>8</v>
      </c>
      <c r="G21" s="8"/>
      <c r="H21" s="8" t="s">
        <v>25</v>
      </c>
      <c r="I21" s="8" t="s">
        <v>26</v>
      </c>
      <c r="J21" s="8" t="s">
        <v>13</v>
      </c>
      <c r="K21" s="8" t="s">
        <v>10</v>
      </c>
      <c r="L21" s="8" t="s">
        <v>11</v>
      </c>
      <c r="M21" s="8" t="s">
        <v>27</v>
      </c>
      <c r="N21" s="10" t="s">
        <v>28</v>
      </c>
      <c r="O21" s="11" t="s">
        <v>29</v>
      </c>
      <c r="P21" s="10" t="s">
        <v>30</v>
      </c>
      <c r="Q21" s="53" t="s">
        <v>31</v>
      </c>
      <c r="R21" s="54"/>
      <c r="S21" s="12" t="s">
        <v>32</v>
      </c>
      <c r="T21" s="36" t="s">
        <v>52</v>
      </c>
    </row>
    <row r="22" spans="1:20">
      <c r="A22" s="13" t="s">
        <v>33</v>
      </c>
      <c r="B22" s="13"/>
      <c r="C22" s="13" t="s">
        <v>34</v>
      </c>
      <c r="D22" s="13"/>
      <c r="E22" s="13"/>
      <c r="F22" s="13"/>
      <c r="G22" s="8"/>
      <c r="H22" s="8"/>
      <c r="I22" s="8"/>
      <c r="J22" s="8"/>
      <c r="K22" s="8" t="s">
        <v>8</v>
      </c>
      <c r="L22" s="8" t="s">
        <v>8</v>
      </c>
      <c r="M22" s="12" t="s">
        <v>35</v>
      </c>
      <c r="N22" s="12" t="s">
        <v>36</v>
      </c>
      <c r="O22" s="10" t="s">
        <v>38</v>
      </c>
      <c r="P22" s="12" t="s">
        <v>51</v>
      </c>
      <c r="Q22" s="12" t="s">
        <v>40</v>
      </c>
      <c r="R22" s="12" t="s">
        <v>41</v>
      </c>
      <c r="S22" s="12"/>
    </row>
    <row r="23" spans="1:20">
      <c r="A23" s="58"/>
      <c r="B23" s="58"/>
      <c r="C23" s="58"/>
      <c r="D23" s="58"/>
      <c r="E23" s="58"/>
      <c r="F23" s="58"/>
      <c r="G23" s="16"/>
      <c r="H23" s="16"/>
      <c r="I23" s="16"/>
      <c r="J23" s="16"/>
      <c r="K23" s="16"/>
      <c r="L23" s="16"/>
      <c r="M23" s="17"/>
      <c r="N23" s="17"/>
      <c r="O23" s="17" t="s">
        <v>39</v>
      </c>
      <c r="P23" s="17" t="s">
        <v>37</v>
      </c>
      <c r="Q23" s="34">
        <v>1926</v>
      </c>
      <c r="R23" s="34">
        <v>2015</v>
      </c>
      <c r="S23" s="17"/>
    </row>
    <row r="24" spans="1:20">
      <c r="A24" s="58" t="s">
        <v>65</v>
      </c>
      <c r="B24" s="58"/>
      <c r="C24" s="58"/>
      <c r="D24" s="58"/>
      <c r="E24" s="58"/>
      <c r="F24" s="58"/>
      <c r="G24" s="16"/>
      <c r="H24" s="16"/>
      <c r="I24" s="16"/>
      <c r="J24" s="16"/>
      <c r="K24" s="16"/>
      <c r="L24" s="16"/>
      <c r="M24" s="17"/>
      <c r="N24" s="17"/>
      <c r="O24" s="17"/>
      <c r="P24" s="17"/>
      <c r="Q24" s="34"/>
      <c r="R24" s="69">
        <f>R16</f>
        <v>1000159.26</v>
      </c>
      <c r="S24" s="17"/>
    </row>
    <row r="25" spans="1:20">
      <c r="A25" s="38"/>
      <c r="B25" s="38"/>
      <c r="C25" s="38"/>
      <c r="D25" s="38"/>
      <c r="E25" s="38"/>
      <c r="F25" s="38"/>
      <c r="G25" s="39"/>
      <c r="H25" s="39"/>
      <c r="I25" s="39"/>
      <c r="J25" s="39"/>
      <c r="K25" s="39"/>
      <c r="L25" s="39"/>
      <c r="M25" s="59"/>
      <c r="N25" s="59"/>
      <c r="O25" s="59"/>
      <c r="P25" s="59"/>
      <c r="Q25" s="60"/>
      <c r="R25" s="60"/>
      <c r="S25" s="59"/>
    </row>
    <row r="26" spans="1:20" ht="15.75">
      <c r="A26" s="38"/>
      <c r="B26" s="61"/>
      <c r="C26" s="61"/>
      <c r="D26" s="42"/>
      <c r="E26" s="42"/>
      <c r="F26" s="42"/>
      <c r="G26" s="27"/>
      <c r="H26" s="27"/>
      <c r="I26" s="27"/>
      <c r="J26" s="27"/>
      <c r="K26" s="27"/>
      <c r="L26" s="39"/>
      <c r="M26" s="59"/>
      <c r="N26" s="59"/>
      <c r="O26" s="59"/>
      <c r="P26" s="59"/>
      <c r="Q26" s="60"/>
      <c r="R26" s="62"/>
      <c r="S26" s="59"/>
    </row>
    <row r="27" spans="1:20" ht="15.75">
      <c r="A27" s="25"/>
      <c r="B27" s="61"/>
      <c r="C27" s="61"/>
      <c r="D27" s="25"/>
      <c r="E27" s="25"/>
      <c r="F27" s="26"/>
      <c r="G27" s="26"/>
      <c r="H27" s="26"/>
      <c r="I27" s="26"/>
      <c r="J27" s="27"/>
      <c r="K27" s="63"/>
      <c r="L27" s="27"/>
      <c r="M27" s="26"/>
      <c r="N27" s="14"/>
      <c r="O27" s="28"/>
      <c r="P27" s="14"/>
      <c r="Q27" s="28"/>
      <c r="R27" s="64"/>
      <c r="S27" s="15"/>
    </row>
    <row r="28" spans="1:20" ht="15.75">
      <c r="A28" s="25"/>
      <c r="B28" s="61"/>
      <c r="C28" s="61">
        <v>46033</v>
      </c>
      <c r="D28" s="25" t="s">
        <v>60</v>
      </c>
      <c r="E28" s="25"/>
      <c r="F28" s="25"/>
      <c r="G28" s="27"/>
      <c r="H28" s="27"/>
      <c r="I28" s="27"/>
      <c r="J28" s="27"/>
      <c r="K28" s="27"/>
      <c r="L28" s="27" t="s">
        <v>59</v>
      </c>
      <c r="M28" s="62">
        <v>923832</v>
      </c>
      <c r="N28" s="14">
        <f>M28</f>
        <v>923832</v>
      </c>
      <c r="O28" s="26"/>
      <c r="P28" s="28"/>
      <c r="Q28" s="28"/>
      <c r="R28" s="26"/>
      <c r="S28" s="15"/>
    </row>
    <row r="29" spans="1:20" ht="15.75">
      <c r="A29" s="25"/>
      <c r="B29" s="61"/>
      <c r="C29" s="61"/>
      <c r="D29" s="25"/>
      <c r="E29" s="25"/>
      <c r="F29" s="29"/>
      <c r="G29" s="27"/>
      <c r="H29" s="27"/>
      <c r="I29" s="27"/>
      <c r="J29" s="27"/>
      <c r="K29" s="65"/>
      <c r="L29" s="27"/>
      <c r="M29" s="15"/>
      <c r="N29" s="14"/>
      <c r="O29" s="28"/>
      <c r="P29" s="14"/>
      <c r="Q29" s="66"/>
      <c r="R29" s="28"/>
      <c r="S29" s="15"/>
    </row>
    <row r="30" spans="1:20" ht="15.75">
      <c r="A30" s="30"/>
      <c r="B30" s="67">
        <v>46037</v>
      </c>
      <c r="C30" s="67">
        <v>46043</v>
      </c>
      <c r="D30" s="25"/>
      <c r="E30" s="25"/>
      <c r="F30" s="31"/>
      <c r="G30" s="31"/>
      <c r="H30" s="31"/>
      <c r="I30" s="27"/>
      <c r="J30" s="31"/>
      <c r="K30" s="68" t="s">
        <v>62</v>
      </c>
      <c r="L30" s="27"/>
      <c r="M30" s="14"/>
      <c r="N30" s="14"/>
      <c r="O30" s="28"/>
      <c r="P30" s="14"/>
      <c r="Q30" s="66"/>
      <c r="R30" s="62">
        <v>899713.2</v>
      </c>
      <c r="S30" s="14"/>
    </row>
    <row r="31" spans="1:20" ht="15.75">
      <c r="A31" s="30"/>
      <c r="B31" s="61"/>
      <c r="C31" s="61"/>
      <c r="D31" s="25"/>
      <c r="E31" s="25"/>
      <c r="F31" s="31"/>
      <c r="G31" s="31"/>
      <c r="H31" s="31"/>
      <c r="I31" s="27"/>
      <c r="J31" s="31"/>
      <c r="K31" s="27"/>
      <c r="L31" s="31"/>
      <c r="M31" s="14"/>
      <c r="N31" s="14"/>
      <c r="O31" s="28"/>
      <c r="P31" s="14"/>
      <c r="Q31" s="66"/>
      <c r="R31" s="28"/>
      <c r="S31" s="14"/>
    </row>
    <row r="32" spans="1:20" ht="15.75">
      <c r="A32" s="30"/>
      <c r="B32" s="26"/>
      <c r="C32" s="61"/>
      <c r="D32" s="25"/>
      <c r="E32" s="25"/>
      <c r="F32" s="31"/>
      <c r="G32" s="31"/>
      <c r="H32" s="31"/>
      <c r="I32" s="31"/>
      <c r="J32" s="31"/>
      <c r="K32" s="27"/>
      <c r="L32" s="27"/>
      <c r="M32" s="28"/>
      <c r="N32" s="19"/>
      <c r="O32" s="14"/>
      <c r="P32" s="14"/>
      <c r="Q32" s="28"/>
      <c r="R32" s="26"/>
      <c r="S32" s="14"/>
    </row>
    <row r="33" spans="1:22" ht="15.75">
      <c r="A33" s="70" t="s">
        <v>48</v>
      </c>
      <c r="B33" s="70"/>
      <c r="C33" s="71"/>
      <c r="D33" s="71"/>
      <c r="E33" s="71"/>
      <c r="F33" s="72"/>
      <c r="G33" s="72"/>
      <c r="H33" s="72"/>
      <c r="I33" s="72"/>
      <c r="J33" s="72"/>
      <c r="K33" s="72"/>
      <c r="L33" s="72"/>
      <c r="M33" s="73">
        <f>SUM(M25:M32)</f>
        <v>923832</v>
      </c>
      <c r="N33" s="73">
        <f>SUM(N25:N32)</f>
        <v>923832</v>
      </c>
      <c r="O33" s="73"/>
      <c r="P33" s="73"/>
      <c r="Q33" s="73"/>
      <c r="R33" s="73">
        <f t="shared" ref="R33:S33" si="1">SUM(R25:R32)</f>
        <v>899713.2</v>
      </c>
      <c r="S33" s="73">
        <f t="shared" si="1"/>
        <v>0</v>
      </c>
    </row>
    <row r="34" spans="1:22" ht="15.75">
      <c r="A34" s="35" t="s">
        <v>66</v>
      </c>
      <c r="B34" s="21"/>
      <c r="C34" s="21"/>
      <c r="D34" s="21"/>
      <c r="E34" s="21"/>
      <c r="F34" s="21"/>
      <c r="G34" s="22"/>
      <c r="H34" s="22"/>
      <c r="I34" s="22"/>
      <c r="J34" s="22"/>
      <c r="K34" s="22"/>
      <c r="L34" s="22"/>
      <c r="M34" s="18">
        <f>M24+M33</f>
        <v>923832</v>
      </c>
      <c r="N34" s="18">
        <f t="shared" ref="N34:S34" si="2">N24+N33</f>
        <v>923832</v>
      </c>
      <c r="O34" s="18">
        <f t="shared" si="2"/>
        <v>0</v>
      </c>
      <c r="P34" s="18">
        <f t="shared" si="2"/>
        <v>0</v>
      </c>
      <c r="Q34" s="18">
        <f t="shared" si="2"/>
        <v>0</v>
      </c>
      <c r="R34" s="18">
        <f t="shared" si="2"/>
        <v>1899872.46</v>
      </c>
      <c r="S34" s="18">
        <f>M34-O34-P34-Q34-R34</f>
        <v>-976040.46</v>
      </c>
    </row>
    <row r="35" spans="1:22" ht="18.75">
      <c r="S35" s="75" t="s">
        <v>63</v>
      </c>
      <c r="T35" s="75"/>
      <c r="U35" s="75"/>
      <c r="V35" s="74"/>
    </row>
  </sheetData>
  <mergeCells count="6">
    <mergeCell ref="Q21:R21"/>
    <mergeCell ref="A1:S1"/>
    <mergeCell ref="A2:S2"/>
    <mergeCell ref="Q4:R4"/>
    <mergeCell ref="A18:S18"/>
    <mergeCell ref="A19:S19"/>
  </mergeCells>
  <phoneticPr fontId="3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 2026</vt:lpstr>
      <vt:lpstr>CONTROL SALDO 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Contadora</dc:creator>
  <cp:lastModifiedBy>Sandra Luz Figueroa</cp:lastModifiedBy>
  <cp:lastPrinted>2023-02-05T06:45:59Z</cp:lastPrinted>
  <dcterms:created xsi:type="dcterms:W3CDTF">2016-02-13T16:10:00Z</dcterms:created>
  <dcterms:modified xsi:type="dcterms:W3CDTF">2026-01-21T20:57:10Z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049A80ED64A843EF9E374530F47B3669</vt:lpwstr>
  </property>
  <property fmtid="{D5CDD505-2E9C-101B-9397-08002B2CF9AE}" pid="3" name="KSOProductBuildVer">
    <vt:lpwstr>2058-11.2.0.11440</vt:lpwstr>
  </property>
</Properties>
</file>